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boo365-my.sharepoint.com/personal/mdpaula_sabo_com_br/Documents/PCM MOGI PLANEJADOR/Projeto Predição Taking/"/>
    </mc:Choice>
  </mc:AlternateContent>
  <xr:revisionPtr revIDLastSave="239" documentId="8_{D0ED27E2-026B-4845-BCFF-229CE1ECB58A}" xr6:coauthVersionLast="47" xr6:coauthVersionMax="47" xr10:uidLastSave="{EBDAB42C-568A-459A-A02A-E5F32D4450DD}"/>
  <bookViews>
    <workbookView xWindow="-120" yWindow="-120" windowWidth="29040" windowHeight="15720" xr2:uid="{A38B8AE5-DF5A-418F-B090-1FB159D9573A}"/>
  </bookViews>
  <sheets>
    <sheet name="Hist. Medições e Manutenções" sheetId="1" r:id="rId1"/>
  </sheets>
  <definedNames>
    <definedName name="_xlnm._FilterDatabase" localSheetId="0" hidden="1">'Hist. Medições e Manutenções'!$B$3:$F$37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1" l="1"/>
  <c r="R35" i="1"/>
  <c r="S34" i="1"/>
  <c r="R34" i="1"/>
  <c r="S33" i="1"/>
  <c r="R33" i="1"/>
  <c r="M37" i="1"/>
  <c r="L37" i="1"/>
  <c r="M36" i="1"/>
  <c r="L36" i="1"/>
  <c r="M35" i="1"/>
  <c r="L35" i="1"/>
  <c r="M34" i="1"/>
  <c r="M33" i="1"/>
  <c r="L33" i="1"/>
  <c r="S24" i="1"/>
  <c r="L24" i="1"/>
  <c r="M24" i="1"/>
  <c r="S31" i="1"/>
  <c r="R31" i="1"/>
  <c r="S30" i="1"/>
  <c r="R30" i="1"/>
  <c r="S29" i="1"/>
  <c r="R29" i="1"/>
  <c r="S26" i="1"/>
  <c r="R26" i="1"/>
  <c r="S23" i="1"/>
  <c r="R23" i="1"/>
  <c r="S22" i="1"/>
  <c r="R22" i="1"/>
  <c r="S21" i="1"/>
  <c r="R21" i="1"/>
  <c r="S20" i="1"/>
  <c r="R20" i="1"/>
  <c r="S19" i="1"/>
  <c r="R19" i="1"/>
  <c r="S18" i="1"/>
  <c r="R18" i="1"/>
  <c r="S16" i="1"/>
  <c r="R16" i="1"/>
  <c r="S15" i="1"/>
  <c r="R15" i="1"/>
  <c r="S14" i="1"/>
  <c r="R14" i="1"/>
  <c r="S13" i="1"/>
  <c r="R13" i="1"/>
  <c r="S12" i="1"/>
  <c r="R12" i="1"/>
  <c r="S11" i="1"/>
  <c r="R11" i="1"/>
  <c r="S4" i="1"/>
  <c r="R4" i="1"/>
  <c r="M30" i="1"/>
  <c r="L30" i="1"/>
  <c r="M29" i="1"/>
  <c r="L29" i="1"/>
  <c r="E30" i="1"/>
  <c r="M31" i="1"/>
  <c r="L31" i="1"/>
  <c r="M26" i="1"/>
  <c r="L26" i="1"/>
  <c r="M23" i="1"/>
  <c r="L23" i="1"/>
  <c r="M22" i="1"/>
  <c r="L22" i="1"/>
  <c r="M21" i="1"/>
  <c r="L21" i="1"/>
  <c r="M20" i="1"/>
  <c r="L20" i="1"/>
  <c r="M19" i="1"/>
  <c r="L19" i="1"/>
  <c r="M18" i="1"/>
  <c r="L18" i="1"/>
  <c r="M4" i="1"/>
  <c r="L4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E31" i="1" l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2" i="1" l="1"/>
</calcChain>
</file>

<file path=xl/sharedStrings.xml><?xml version="1.0" encoding="utf-8"?>
<sst xmlns="http://schemas.openxmlformats.org/spreadsheetml/2006/main" count="59" uniqueCount="49">
  <si>
    <t>Equipamento</t>
  </si>
  <si>
    <t>Data execução da ultima substituição</t>
  </si>
  <si>
    <t>Data da penultima substituição</t>
  </si>
  <si>
    <t>Dias em operação</t>
  </si>
  <si>
    <t>Observações</t>
  </si>
  <si>
    <t>IJ-125</t>
  </si>
  <si>
    <t>CSS Prime / Substituido por peça original REP</t>
  </si>
  <si>
    <t>IJ-130</t>
  </si>
  <si>
    <t>IJ-136</t>
  </si>
  <si>
    <t>IJ-156</t>
  </si>
  <si>
    <t>IJ-044</t>
  </si>
  <si>
    <t>IJ-046</t>
  </si>
  <si>
    <t>IJ-117</t>
  </si>
  <si>
    <t>IJ-118</t>
  </si>
  <si>
    <t>IJ-119</t>
  </si>
  <si>
    <t>IJ-120</t>
  </si>
  <si>
    <t>IJ-121</t>
  </si>
  <si>
    <t>IJ-122</t>
  </si>
  <si>
    <t>IJ-123</t>
  </si>
  <si>
    <t>IJ-124</t>
  </si>
  <si>
    <t>IJ-129</t>
  </si>
  <si>
    <t>IJ-131</t>
  </si>
  <si>
    <t>IJ-132</t>
  </si>
  <si>
    <t>IJ-133</t>
  </si>
  <si>
    <t>IJ-134</t>
  </si>
  <si>
    <t>IJ-135</t>
  </si>
  <si>
    <t>IJ-137</t>
  </si>
  <si>
    <t>IJ-138</t>
  </si>
  <si>
    <t>IJ-139</t>
  </si>
  <si>
    <t>IJ-151</t>
  </si>
  <si>
    <t>IJ-152</t>
  </si>
  <si>
    <t>IJ-164</t>
  </si>
  <si>
    <t>Média de operação</t>
  </si>
  <si>
    <t>Setor de Amostras / Conjunto superior e inferior</t>
  </si>
  <si>
    <t>A</t>
  </si>
  <si>
    <t>B</t>
  </si>
  <si>
    <t>C</t>
  </si>
  <si>
    <t>D</t>
  </si>
  <si>
    <t>E</t>
  </si>
  <si>
    <t>Máximo</t>
  </si>
  <si>
    <t>Mínimo</t>
  </si>
  <si>
    <t>Medições Cilindro</t>
  </si>
  <si>
    <t>Histórico Manutenções (Substituições)</t>
  </si>
  <si>
    <t>IJ-155 (Inferior)</t>
  </si>
  <si>
    <t>IJ-155 (Superior)</t>
  </si>
  <si>
    <t>Medições Fuso</t>
  </si>
  <si>
    <t>MEDIÇÃO SEM VINCULAÇÃO DE EQUIPAMENTO</t>
  </si>
  <si>
    <t>Equipamentos sem medições</t>
  </si>
  <si>
    <t>Equipamentos não realizada as medições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</si>
</sst>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1" fontId="3" fillId="2" borderId="2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1217074</xdr:colOff>
      <xdr:row>37</xdr:row>
      <xdr:rowOff>158750</xdr:rowOff>
    </xdr:from>
    <xdr:to>
      <xdr:col>5</xdr:col>
      <xdr:colOff>2160049</xdr:colOff>
      <xdr:row>49</xdr:row>
      <xdr:rowOff>158750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731691-E704-4DE6-B94A-40936F4F4DA8}"/>
            </a:ext>
            <a:ext uri="{147F2762-F138-4A5C-976F-8EAC2B608ADB}">
              <a16:predDERef xmlns:a16="http://schemas.microsoft.com/office/drawing/2014/main" pred="{EEE3F09C-4127-4C7B-8625-7076F547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41" y="7535333"/>
          <a:ext cx="6562725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296321</xdr:colOff>
      <xdr:row>37</xdr:row>
      <xdr:rowOff>148164</xdr:rowOff>
    </xdr:from>
    <xdr:to>
      <xdr:col>18</xdr:col>
      <xdr:colOff>476238</xdr:colOff>
      <xdr:row>46</xdr:row>
      <xdr:rowOff>186264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ADAE4DC0-2430-4A7F-814B-46B26369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6571" y="7524747"/>
          <a:ext cx="7715250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93D9-7CBE-41D6-A20B-4E111D88A3F5}">
  <sheetPr>
    <pageSetUpPr fitToPage="1"/>
  </sheetPr>
  <dimension ref="A2:S51"/>
  <sheetViews>
    <sheetView tabSelected="1" zoomScale="90" zoomScaleNormal="90" workbookViewId="0">
      <pane xSplit="1" ySplit="4" topLeftCell="B5" activePane="bottomRight" state="frozen"/>
      <selection pane="topRight" activeCell="D1" sqref="D1"/>
      <selection pane="bottomLeft" activeCell="A5" sqref="A5"/>
      <selection pane="bottomRight"/>
    </sheetView>
  </sheetViews>
  <sheetFormatPr defaultColWidth="8.85546875" defaultRowHeight="15" x14ac:dyDescent="0.2"/>
  <cols>
    <col min="1" max="1" width="8.85546875" style="1"/>
    <col min="2" max="2" width="19.85546875" style="1" customWidth="1"/>
    <col min="3" max="3" width="26.140625" style="1" customWidth="1"/>
    <col min="4" max="4" width="24.7109375" style="1" customWidth="1"/>
    <col min="5" max="5" width="13.42578125" style="1" customWidth="1"/>
    <col min="6" max="6" width="51.140625" style="1" bestFit="1" customWidth="1"/>
    <col min="7" max="11" width="8.85546875" style="2"/>
    <col min="12" max="12" width="11.42578125" style="2" bestFit="1" customWidth="1"/>
    <col min="13" max="13" width="10.7109375" style="2" bestFit="1" customWidth="1"/>
    <col min="14" max="17" width="8.85546875" style="2"/>
    <col min="18" max="18" width="10.7109375" style="2" bestFit="1" customWidth="1"/>
    <col min="19" max="19" width="10.140625" style="2" bestFit="1" customWidth="1"/>
    <col min="20" max="16384" width="8.85546875" style="2"/>
  </cols>
  <sheetData>
    <row r="2" spans="1:19" ht="15.75" x14ac:dyDescent="0.25">
      <c r="B2" s="20" t="s">
        <v>42</v>
      </c>
      <c r="C2" s="20"/>
      <c r="D2" s="20"/>
      <c r="E2" s="20"/>
      <c r="F2" s="20"/>
      <c r="G2" s="21" t="s">
        <v>41</v>
      </c>
      <c r="H2" s="21"/>
      <c r="I2" s="21"/>
      <c r="J2" s="21"/>
      <c r="K2" s="21"/>
      <c r="L2" s="21"/>
      <c r="M2" s="21"/>
      <c r="N2" s="21" t="s">
        <v>45</v>
      </c>
      <c r="O2" s="21"/>
      <c r="P2" s="21"/>
      <c r="Q2" s="21"/>
      <c r="R2" s="21"/>
      <c r="S2" s="21"/>
    </row>
    <row r="3" spans="1:19" ht="31.5" x14ac:dyDescent="0.2">
      <c r="B3" s="6" t="s">
        <v>0</v>
      </c>
      <c r="C3" s="7" t="s">
        <v>1</v>
      </c>
      <c r="D3" s="8" t="s">
        <v>2</v>
      </c>
      <c r="E3" s="8" t="s">
        <v>3</v>
      </c>
      <c r="F3" s="6" t="s">
        <v>4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39</v>
      </c>
      <c r="S3" s="9" t="s">
        <v>40</v>
      </c>
    </row>
    <row r="4" spans="1:19" x14ac:dyDescent="0.2">
      <c r="A4" s="3"/>
      <c r="B4" s="10" t="s">
        <v>5</v>
      </c>
      <c r="C4" s="11">
        <v>45645</v>
      </c>
      <c r="D4" s="11">
        <v>45250</v>
      </c>
      <c r="E4" s="12">
        <f>C4-D4</f>
        <v>395</v>
      </c>
      <c r="F4" s="10" t="s">
        <v>6</v>
      </c>
      <c r="G4" s="5">
        <v>20.03</v>
      </c>
      <c r="H4" s="5">
        <v>20.02</v>
      </c>
      <c r="I4" s="5">
        <v>20.02</v>
      </c>
      <c r="J4" s="5">
        <v>20.02</v>
      </c>
      <c r="K4" s="5">
        <v>20.02</v>
      </c>
      <c r="L4" s="5">
        <f t="shared" ref="L4" si="0">MAX(G4:K4)</f>
        <v>20.03</v>
      </c>
      <c r="M4" s="5">
        <f t="shared" ref="M4" si="1">MIN(G4:K4)</f>
        <v>20.02</v>
      </c>
      <c r="N4" s="10">
        <v>19.920000000000002</v>
      </c>
      <c r="O4" s="10">
        <v>19.91</v>
      </c>
      <c r="P4" s="10">
        <v>19.899999999999999</v>
      </c>
      <c r="Q4" s="10">
        <v>19.87</v>
      </c>
      <c r="R4" s="10">
        <f t="shared" ref="R4" si="2">MAX(N4:Q4)</f>
        <v>19.920000000000002</v>
      </c>
      <c r="S4" s="10">
        <f t="shared" ref="S4" si="3">MIN(N4:Q4)</f>
        <v>19.87</v>
      </c>
    </row>
    <row r="5" spans="1:19" x14ac:dyDescent="0.2">
      <c r="A5" s="3"/>
      <c r="B5" s="10" t="s">
        <v>7</v>
      </c>
      <c r="C5" s="13">
        <v>45934</v>
      </c>
      <c r="D5" s="13">
        <v>45430</v>
      </c>
      <c r="E5" s="10">
        <f>C5-D5</f>
        <v>504</v>
      </c>
      <c r="F5" s="10" t="s">
        <v>6</v>
      </c>
      <c r="G5" s="5">
        <v>20.04</v>
      </c>
      <c r="H5" s="5">
        <v>20.010000000000002</v>
      </c>
      <c r="I5" s="5">
        <v>20.02</v>
      </c>
      <c r="J5" s="5">
        <v>20.02</v>
      </c>
      <c r="K5" s="5">
        <v>20.02</v>
      </c>
      <c r="L5" s="5">
        <v>20.04</v>
      </c>
      <c r="M5" s="5">
        <v>20.010000000000002</v>
      </c>
      <c r="N5" s="5">
        <v>20.079999999999998</v>
      </c>
      <c r="O5" s="5">
        <v>20.07</v>
      </c>
      <c r="P5" s="5">
        <v>20.04</v>
      </c>
      <c r="Q5" s="5">
        <v>20.05</v>
      </c>
      <c r="R5" s="5">
        <v>20.079999999999998</v>
      </c>
      <c r="S5" s="5">
        <v>20.04</v>
      </c>
    </row>
    <row r="6" spans="1:19" x14ac:dyDescent="0.2">
      <c r="A6" s="3"/>
      <c r="B6" s="10" t="s">
        <v>8</v>
      </c>
      <c r="C6" s="13">
        <v>45962</v>
      </c>
      <c r="D6" s="13">
        <v>45430</v>
      </c>
      <c r="E6" s="10">
        <f>C6-D6</f>
        <v>532</v>
      </c>
      <c r="F6" s="10" t="s">
        <v>6</v>
      </c>
      <c r="G6" s="5">
        <v>20.02</v>
      </c>
      <c r="H6" s="5">
        <v>20.04</v>
      </c>
      <c r="I6" s="5">
        <v>20.05</v>
      </c>
      <c r="J6" s="5">
        <v>20.05</v>
      </c>
      <c r="K6" s="5">
        <v>20.059999999999999</v>
      </c>
      <c r="L6" s="5">
        <v>20.059999999999999</v>
      </c>
      <c r="M6" s="5">
        <v>20.02</v>
      </c>
      <c r="N6" s="14"/>
      <c r="O6" s="14"/>
      <c r="P6" s="14"/>
      <c r="Q6" s="14"/>
      <c r="R6" s="14"/>
      <c r="S6" s="14"/>
    </row>
    <row r="7" spans="1:19" x14ac:dyDescent="0.2">
      <c r="A7" s="3"/>
      <c r="B7" s="10" t="s">
        <v>9</v>
      </c>
      <c r="C7" s="13">
        <v>45941</v>
      </c>
      <c r="D7" s="13">
        <v>45431</v>
      </c>
      <c r="E7" s="10">
        <f>C7-D7</f>
        <v>510</v>
      </c>
      <c r="F7" s="10" t="s">
        <v>6</v>
      </c>
      <c r="G7" s="5">
        <v>20.05</v>
      </c>
      <c r="H7" s="5">
        <v>20.2</v>
      </c>
      <c r="I7" s="5">
        <v>20.399999999999999</v>
      </c>
      <c r="J7" s="5">
        <v>20.5</v>
      </c>
      <c r="K7" s="5">
        <v>20.6</v>
      </c>
      <c r="L7" s="5">
        <v>20.6</v>
      </c>
      <c r="M7" s="5">
        <v>20.05</v>
      </c>
      <c r="N7" s="5">
        <v>19.37</v>
      </c>
      <c r="O7" s="5">
        <v>19.079999999999998</v>
      </c>
      <c r="P7" s="5">
        <v>18.940000000000001</v>
      </c>
      <c r="Q7" s="5">
        <v>18.3</v>
      </c>
      <c r="R7" s="5">
        <v>19.37</v>
      </c>
      <c r="S7" s="5">
        <v>18.3</v>
      </c>
    </row>
    <row r="8" spans="1:19" x14ac:dyDescent="0.2">
      <c r="B8" s="10" t="s">
        <v>10</v>
      </c>
      <c r="C8" s="30">
        <v>45969</v>
      </c>
      <c r="D8" s="13">
        <v>45438</v>
      </c>
      <c r="E8" s="10">
        <f t="shared" ref="E8:E31" si="4">C8-D8</f>
        <v>531</v>
      </c>
      <c r="F8" s="10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2">
      <c r="B9" s="10" t="s">
        <v>11</v>
      </c>
      <c r="C9" s="13">
        <v>45662</v>
      </c>
      <c r="D9" s="13">
        <v>45319</v>
      </c>
      <c r="E9" s="10">
        <f t="shared" si="4"/>
        <v>343</v>
      </c>
      <c r="F9" s="10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x14ac:dyDescent="0.2">
      <c r="B10" s="10" t="s">
        <v>12</v>
      </c>
      <c r="C10" s="13">
        <v>45828</v>
      </c>
      <c r="D10" s="13">
        <v>45332</v>
      </c>
      <c r="E10" s="10">
        <f t="shared" si="4"/>
        <v>496</v>
      </c>
      <c r="F10" s="10"/>
      <c r="G10" s="5">
        <v>20.05</v>
      </c>
      <c r="H10" s="5">
        <v>20.28</v>
      </c>
      <c r="I10" s="5">
        <v>20.5</v>
      </c>
      <c r="J10" s="5">
        <v>20.5</v>
      </c>
      <c r="K10" s="5">
        <v>20.5</v>
      </c>
      <c r="L10" s="5">
        <f t="shared" ref="L10:L16" si="5">MAX(G10:K10)</f>
        <v>20.5</v>
      </c>
      <c r="M10" s="5">
        <f t="shared" ref="M10:M16" si="6">MIN(G10:K10)</f>
        <v>20.05</v>
      </c>
      <c r="N10" s="14"/>
      <c r="O10" s="14"/>
      <c r="P10" s="14"/>
      <c r="Q10" s="14"/>
      <c r="R10" s="14"/>
      <c r="S10" s="14"/>
    </row>
    <row r="11" spans="1:19" x14ac:dyDescent="0.2">
      <c r="B11" s="10" t="s">
        <v>13</v>
      </c>
      <c r="C11" s="13">
        <v>45718</v>
      </c>
      <c r="D11" s="13">
        <v>45333</v>
      </c>
      <c r="E11" s="10">
        <f t="shared" si="4"/>
        <v>385</v>
      </c>
      <c r="F11" s="10"/>
      <c r="G11" s="5">
        <v>20.05</v>
      </c>
      <c r="H11" s="5">
        <v>20.02</v>
      </c>
      <c r="I11" s="5">
        <v>20.2</v>
      </c>
      <c r="J11" s="5">
        <v>20.399999999999999</v>
      </c>
      <c r="K11" s="5">
        <v>20.5</v>
      </c>
      <c r="L11" s="5">
        <f t="shared" si="5"/>
        <v>20.5</v>
      </c>
      <c r="M11" s="5">
        <f t="shared" si="6"/>
        <v>20.02</v>
      </c>
      <c r="N11" s="10">
        <v>19.88</v>
      </c>
      <c r="O11" s="10">
        <v>19.73</v>
      </c>
      <c r="P11" s="10">
        <v>19.46</v>
      </c>
      <c r="Q11" s="10">
        <v>18.78</v>
      </c>
      <c r="R11" s="10">
        <f t="shared" ref="R11:R16" si="7">MAX(N11:Q11)</f>
        <v>19.88</v>
      </c>
      <c r="S11" s="10">
        <f t="shared" ref="S11:S16" si="8">MIN(N11:Q11)</f>
        <v>18.78</v>
      </c>
    </row>
    <row r="12" spans="1:19" x14ac:dyDescent="0.2">
      <c r="B12" s="10" t="s">
        <v>14</v>
      </c>
      <c r="C12" s="13">
        <v>45711</v>
      </c>
      <c r="D12" s="13">
        <v>45332</v>
      </c>
      <c r="E12" s="10">
        <f t="shared" si="4"/>
        <v>379</v>
      </c>
      <c r="F12" s="10"/>
      <c r="G12" s="5">
        <v>20.05</v>
      </c>
      <c r="H12" s="5">
        <v>20.05</v>
      </c>
      <c r="I12" s="5">
        <v>20.05</v>
      </c>
      <c r="J12" s="5">
        <v>20.059999999999999</v>
      </c>
      <c r="K12" s="5">
        <v>20.14</v>
      </c>
      <c r="L12" s="5">
        <f t="shared" si="5"/>
        <v>20.14</v>
      </c>
      <c r="M12" s="5">
        <f t="shared" si="6"/>
        <v>20.05</v>
      </c>
      <c r="N12" s="10">
        <v>19.75</v>
      </c>
      <c r="O12" s="10">
        <v>19.53</v>
      </c>
      <c r="P12" s="10">
        <v>19.41</v>
      </c>
      <c r="Q12" s="10">
        <v>19.18</v>
      </c>
      <c r="R12" s="10">
        <f t="shared" si="7"/>
        <v>19.75</v>
      </c>
      <c r="S12" s="10">
        <f t="shared" si="8"/>
        <v>19.18</v>
      </c>
    </row>
    <row r="13" spans="1:19" x14ac:dyDescent="0.2">
      <c r="B13" s="10" t="s">
        <v>15</v>
      </c>
      <c r="C13" s="13">
        <v>45752</v>
      </c>
      <c r="D13" s="13">
        <v>45346</v>
      </c>
      <c r="E13" s="10">
        <f t="shared" si="4"/>
        <v>406</v>
      </c>
      <c r="F13" s="10"/>
      <c r="G13" s="5">
        <v>20.05</v>
      </c>
      <c r="H13" s="5">
        <v>20.015000000000001</v>
      </c>
      <c r="I13" s="5">
        <v>20.02</v>
      </c>
      <c r="J13" s="5">
        <v>20.024999999999999</v>
      </c>
      <c r="K13" s="5">
        <v>20.03</v>
      </c>
      <c r="L13" s="5">
        <f t="shared" si="5"/>
        <v>20.05</v>
      </c>
      <c r="M13" s="5">
        <f t="shared" si="6"/>
        <v>20.015000000000001</v>
      </c>
      <c r="N13" s="10">
        <v>19.489999999999998</v>
      </c>
      <c r="O13" s="10">
        <v>19.510000000000002</v>
      </c>
      <c r="P13" s="10">
        <v>19.579999999999998</v>
      </c>
      <c r="Q13" s="10">
        <v>19.52</v>
      </c>
      <c r="R13" s="10">
        <f t="shared" si="7"/>
        <v>19.579999999999998</v>
      </c>
      <c r="S13" s="10">
        <f t="shared" si="8"/>
        <v>19.489999999999998</v>
      </c>
    </row>
    <row r="14" spans="1:19" x14ac:dyDescent="0.2">
      <c r="B14" s="10" t="s">
        <v>16</v>
      </c>
      <c r="C14" s="13">
        <v>45837</v>
      </c>
      <c r="D14" s="13">
        <v>45347</v>
      </c>
      <c r="E14" s="10">
        <f t="shared" si="4"/>
        <v>490</v>
      </c>
      <c r="F14" s="10"/>
      <c r="G14" s="5">
        <v>20.05</v>
      </c>
      <c r="H14" s="5">
        <v>20.05</v>
      </c>
      <c r="I14" s="5">
        <v>20.079999999999998</v>
      </c>
      <c r="J14" s="5">
        <v>20.09</v>
      </c>
      <c r="K14" s="5">
        <v>20.12</v>
      </c>
      <c r="L14" s="5">
        <f t="shared" si="5"/>
        <v>20.12</v>
      </c>
      <c r="M14" s="5">
        <f t="shared" si="6"/>
        <v>20.05</v>
      </c>
      <c r="N14" s="10">
        <v>19.8</v>
      </c>
      <c r="O14" s="10">
        <v>19.649999999999999</v>
      </c>
      <c r="P14" s="10">
        <v>19.53</v>
      </c>
      <c r="Q14" s="10">
        <v>19.489999999999998</v>
      </c>
      <c r="R14" s="10">
        <f t="shared" si="7"/>
        <v>19.8</v>
      </c>
      <c r="S14" s="10">
        <f t="shared" si="8"/>
        <v>19.489999999999998</v>
      </c>
    </row>
    <row r="15" spans="1:19" x14ac:dyDescent="0.2">
      <c r="B15" s="10" t="s">
        <v>17</v>
      </c>
      <c r="C15" s="13">
        <v>45794</v>
      </c>
      <c r="D15" s="13">
        <v>45346</v>
      </c>
      <c r="E15" s="10">
        <f t="shared" si="4"/>
        <v>448</v>
      </c>
      <c r="F15" s="10"/>
      <c r="G15" s="5">
        <v>20</v>
      </c>
      <c r="H15" s="5">
        <v>20</v>
      </c>
      <c r="I15" s="5">
        <v>20</v>
      </c>
      <c r="J15" s="5">
        <v>20</v>
      </c>
      <c r="K15" s="5">
        <v>20</v>
      </c>
      <c r="L15" s="5">
        <f t="shared" si="5"/>
        <v>20</v>
      </c>
      <c r="M15" s="5">
        <f t="shared" si="6"/>
        <v>20</v>
      </c>
      <c r="N15" s="10">
        <v>19.8</v>
      </c>
      <c r="O15" s="10">
        <v>19.809999999999999</v>
      </c>
      <c r="P15" s="10">
        <v>19.87</v>
      </c>
      <c r="Q15" s="10">
        <v>19.87</v>
      </c>
      <c r="R15" s="10">
        <f t="shared" si="7"/>
        <v>19.87</v>
      </c>
      <c r="S15" s="10">
        <f t="shared" si="8"/>
        <v>19.8</v>
      </c>
    </row>
    <row r="16" spans="1:19" x14ac:dyDescent="0.2">
      <c r="B16" s="10" t="s">
        <v>18</v>
      </c>
      <c r="C16" s="13">
        <v>45717</v>
      </c>
      <c r="D16" s="13">
        <v>45333</v>
      </c>
      <c r="E16" s="10">
        <f t="shared" si="4"/>
        <v>384</v>
      </c>
      <c r="F16" s="10"/>
      <c r="G16" s="5">
        <v>20.04</v>
      </c>
      <c r="H16" s="5">
        <v>20.04</v>
      </c>
      <c r="I16" s="5">
        <v>20.059999999999999</v>
      </c>
      <c r="J16" s="5">
        <v>20.07</v>
      </c>
      <c r="K16" s="5">
        <v>20.07</v>
      </c>
      <c r="L16" s="5">
        <f t="shared" si="5"/>
        <v>20.07</v>
      </c>
      <c r="M16" s="5">
        <f t="shared" si="6"/>
        <v>20.04</v>
      </c>
      <c r="N16" s="10">
        <v>19.8</v>
      </c>
      <c r="O16" s="10">
        <v>19.72</v>
      </c>
      <c r="P16" s="10">
        <v>19.670000000000002</v>
      </c>
      <c r="Q16" s="10">
        <v>19.59</v>
      </c>
      <c r="R16" s="10">
        <f t="shared" si="7"/>
        <v>19.8</v>
      </c>
      <c r="S16" s="10">
        <f t="shared" si="8"/>
        <v>19.59</v>
      </c>
    </row>
    <row r="17" spans="2:19" x14ac:dyDescent="0.2">
      <c r="B17" s="10" t="s">
        <v>19</v>
      </c>
      <c r="C17" s="13">
        <v>45661</v>
      </c>
      <c r="D17" s="13">
        <v>45329</v>
      </c>
      <c r="E17" s="10">
        <f t="shared" si="4"/>
        <v>332</v>
      </c>
      <c r="F17" s="10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2:19" x14ac:dyDescent="0.2">
      <c r="B18" s="10" t="s">
        <v>20</v>
      </c>
      <c r="C18" s="13">
        <v>45780</v>
      </c>
      <c r="D18" s="13">
        <v>45347</v>
      </c>
      <c r="E18" s="10">
        <f t="shared" si="4"/>
        <v>433</v>
      </c>
      <c r="F18" s="10"/>
      <c r="G18" s="5">
        <v>20.05</v>
      </c>
      <c r="H18" s="5">
        <v>20.18</v>
      </c>
      <c r="I18" s="5">
        <v>20.28</v>
      </c>
      <c r="J18" s="5">
        <v>20.34</v>
      </c>
      <c r="K18" s="5">
        <v>20.5</v>
      </c>
      <c r="L18" s="5">
        <f t="shared" ref="L18:L24" si="9">MAX(G18:K18)</f>
        <v>20.5</v>
      </c>
      <c r="M18" s="5">
        <f t="shared" ref="M18:M24" si="10">MIN(G18:K18)</f>
        <v>20.05</v>
      </c>
      <c r="N18" s="10">
        <v>19.82</v>
      </c>
      <c r="O18" s="10">
        <v>19.59</v>
      </c>
      <c r="P18" s="10">
        <v>19.41</v>
      </c>
      <c r="Q18" s="10">
        <v>18.5</v>
      </c>
      <c r="R18" s="10">
        <f t="shared" ref="R18:R23" si="11">MAX(N18:Q18)</f>
        <v>19.82</v>
      </c>
      <c r="S18" s="10">
        <f t="shared" ref="S18:S24" si="12">MIN(N18:Q18)</f>
        <v>18.5</v>
      </c>
    </row>
    <row r="19" spans="2:19" x14ac:dyDescent="0.2">
      <c r="B19" s="10" t="s">
        <v>21</v>
      </c>
      <c r="C19" s="13">
        <v>45703</v>
      </c>
      <c r="D19" s="13">
        <v>45347</v>
      </c>
      <c r="E19" s="10">
        <f t="shared" si="4"/>
        <v>356</v>
      </c>
      <c r="F19" s="10"/>
      <c r="G19" s="5">
        <v>20</v>
      </c>
      <c r="H19" s="5">
        <v>20</v>
      </c>
      <c r="I19" s="5">
        <v>20</v>
      </c>
      <c r="J19" s="5">
        <v>20</v>
      </c>
      <c r="K19" s="5">
        <v>20.004999999999999</v>
      </c>
      <c r="L19" s="5">
        <f t="shared" si="9"/>
        <v>20.004999999999999</v>
      </c>
      <c r="M19" s="5">
        <f t="shared" si="10"/>
        <v>20</v>
      </c>
      <c r="N19" s="10">
        <v>19.809999999999999</v>
      </c>
      <c r="O19" s="10">
        <v>19.8</v>
      </c>
      <c r="P19" s="10">
        <v>19.8</v>
      </c>
      <c r="Q19" s="10">
        <v>19.760000000000002</v>
      </c>
      <c r="R19" s="10">
        <f t="shared" si="11"/>
        <v>19.809999999999999</v>
      </c>
      <c r="S19" s="10">
        <f t="shared" si="12"/>
        <v>19.760000000000002</v>
      </c>
    </row>
    <row r="20" spans="2:19" x14ac:dyDescent="0.2">
      <c r="B20" s="10" t="s">
        <v>22</v>
      </c>
      <c r="C20" s="13">
        <v>45759</v>
      </c>
      <c r="D20" s="13">
        <v>45340</v>
      </c>
      <c r="E20" s="10">
        <f t="shared" si="4"/>
        <v>419</v>
      </c>
      <c r="F20" s="10"/>
      <c r="G20" s="5">
        <v>20.05</v>
      </c>
      <c r="H20" s="5">
        <v>20.004999999999999</v>
      </c>
      <c r="I20" s="5">
        <v>20.010000000000002</v>
      </c>
      <c r="J20" s="5">
        <v>20.010000000000002</v>
      </c>
      <c r="K20" s="5">
        <v>20.010000000000002</v>
      </c>
      <c r="L20" s="5">
        <f t="shared" si="9"/>
        <v>20.05</v>
      </c>
      <c r="M20" s="5">
        <f t="shared" si="10"/>
        <v>20.004999999999999</v>
      </c>
      <c r="N20" s="10">
        <v>19.71</v>
      </c>
      <c r="O20" s="10">
        <v>19.77</v>
      </c>
      <c r="P20" s="10">
        <v>19.82</v>
      </c>
      <c r="Q20" s="10">
        <v>19.760000000000002</v>
      </c>
      <c r="R20" s="10">
        <f t="shared" si="11"/>
        <v>19.82</v>
      </c>
      <c r="S20" s="10">
        <f t="shared" si="12"/>
        <v>19.71</v>
      </c>
    </row>
    <row r="21" spans="2:19" x14ac:dyDescent="0.2">
      <c r="B21" s="10" t="s">
        <v>23</v>
      </c>
      <c r="C21" s="13">
        <v>45843</v>
      </c>
      <c r="D21" s="13">
        <v>45353</v>
      </c>
      <c r="E21" s="10">
        <f t="shared" si="4"/>
        <v>490</v>
      </c>
      <c r="F21" s="10"/>
      <c r="G21" s="5">
        <v>20.059999999999999</v>
      </c>
      <c r="H21" s="5">
        <v>20.059999999999999</v>
      </c>
      <c r="I21" s="5">
        <v>20.059999999999999</v>
      </c>
      <c r="J21" s="5">
        <v>20.079999999999998</v>
      </c>
      <c r="K21" s="5">
        <v>20.079999999999998</v>
      </c>
      <c r="L21" s="5">
        <f t="shared" si="9"/>
        <v>20.079999999999998</v>
      </c>
      <c r="M21" s="5">
        <f t="shared" si="10"/>
        <v>20.059999999999999</v>
      </c>
      <c r="N21" s="10">
        <v>19.809999999999999</v>
      </c>
      <c r="O21" s="10">
        <v>19.64</v>
      </c>
      <c r="P21" s="10">
        <v>19.55</v>
      </c>
      <c r="Q21" s="10">
        <v>19.52</v>
      </c>
      <c r="R21" s="10">
        <f t="shared" si="11"/>
        <v>19.809999999999999</v>
      </c>
      <c r="S21" s="10">
        <f t="shared" si="12"/>
        <v>19.52</v>
      </c>
    </row>
    <row r="22" spans="2:19" x14ac:dyDescent="0.2">
      <c r="B22" s="10" t="s">
        <v>24</v>
      </c>
      <c r="C22" s="13">
        <v>45876</v>
      </c>
      <c r="D22" s="13">
        <v>45353</v>
      </c>
      <c r="E22" s="10">
        <f t="shared" si="4"/>
        <v>523</v>
      </c>
      <c r="F22" s="10"/>
      <c r="G22" s="5">
        <v>20.3</v>
      </c>
      <c r="H22" s="5">
        <v>20.3</v>
      </c>
      <c r="I22" s="5">
        <v>20.350000000000001</v>
      </c>
      <c r="J22" s="5">
        <v>20.46</v>
      </c>
      <c r="K22" s="5">
        <v>20.58</v>
      </c>
      <c r="L22" s="5">
        <f t="shared" si="9"/>
        <v>20.58</v>
      </c>
      <c r="M22" s="5">
        <f t="shared" si="10"/>
        <v>20.3</v>
      </c>
      <c r="N22" s="10">
        <v>19.739999999999998</v>
      </c>
      <c r="O22" s="10">
        <v>19.23</v>
      </c>
      <c r="P22" s="10">
        <v>18.690000000000001</v>
      </c>
      <c r="Q22" s="10">
        <v>17.95</v>
      </c>
      <c r="R22" s="10">
        <f t="shared" si="11"/>
        <v>19.739999999999998</v>
      </c>
      <c r="S22" s="10">
        <f t="shared" si="12"/>
        <v>17.95</v>
      </c>
    </row>
    <row r="23" spans="2:19" x14ac:dyDescent="0.2">
      <c r="B23" s="10" t="s">
        <v>25</v>
      </c>
      <c r="C23" s="13">
        <v>45845</v>
      </c>
      <c r="D23" s="13">
        <v>45353</v>
      </c>
      <c r="E23" s="10">
        <f t="shared" si="4"/>
        <v>492</v>
      </c>
      <c r="F23" s="10"/>
      <c r="G23" s="5">
        <v>20</v>
      </c>
      <c r="H23" s="5">
        <v>20</v>
      </c>
      <c r="I23" s="5">
        <v>20</v>
      </c>
      <c r="J23" s="5">
        <v>20</v>
      </c>
      <c r="K23" s="5">
        <v>20</v>
      </c>
      <c r="L23" s="5">
        <f t="shared" si="9"/>
        <v>20</v>
      </c>
      <c r="M23" s="5">
        <f t="shared" si="10"/>
        <v>20</v>
      </c>
      <c r="N23" s="10">
        <v>19.829999999999998</v>
      </c>
      <c r="O23" s="10">
        <v>19.829999999999998</v>
      </c>
      <c r="P23" s="10">
        <v>19.86</v>
      </c>
      <c r="Q23" s="10">
        <v>19.850000000000001</v>
      </c>
      <c r="R23" s="10">
        <f t="shared" si="11"/>
        <v>19.86</v>
      </c>
      <c r="S23" s="10">
        <f t="shared" si="12"/>
        <v>19.829999999999998</v>
      </c>
    </row>
    <row r="24" spans="2:19" x14ac:dyDescent="0.2">
      <c r="B24" s="10" t="s">
        <v>26</v>
      </c>
      <c r="C24" s="13">
        <v>45906</v>
      </c>
      <c r="D24" s="13">
        <v>45368</v>
      </c>
      <c r="E24" s="10">
        <f t="shared" si="4"/>
        <v>538</v>
      </c>
      <c r="F24" s="10"/>
      <c r="G24" s="5">
        <v>20.02</v>
      </c>
      <c r="H24" s="5">
        <v>20.3</v>
      </c>
      <c r="I24" s="5">
        <v>20.5</v>
      </c>
      <c r="J24" s="5">
        <v>20.55</v>
      </c>
      <c r="K24" s="5">
        <v>20.399999999999999</v>
      </c>
      <c r="L24" s="5">
        <f t="shared" si="9"/>
        <v>20.55</v>
      </c>
      <c r="M24" s="5">
        <f t="shared" si="10"/>
        <v>20.02</v>
      </c>
      <c r="N24" s="5">
        <v>19.010000000000002</v>
      </c>
      <c r="O24" s="5">
        <v>18.690000000000001</v>
      </c>
      <c r="P24" s="5">
        <v>18.88</v>
      </c>
      <c r="Q24" s="5">
        <v>18.260000000000002</v>
      </c>
      <c r="R24" s="5">
        <v>19.010000000000002</v>
      </c>
      <c r="S24" s="5">
        <f t="shared" si="12"/>
        <v>18.260000000000002</v>
      </c>
    </row>
    <row r="25" spans="2:19" x14ac:dyDescent="0.2">
      <c r="B25" s="10" t="s">
        <v>27</v>
      </c>
      <c r="C25" s="13">
        <v>45906</v>
      </c>
      <c r="D25" s="13">
        <v>45367</v>
      </c>
      <c r="E25" s="10">
        <f t="shared" si="4"/>
        <v>539</v>
      </c>
      <c r="F25" s="10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2:19" x14ac:dyDescent="0.2">
      <c r="B26" s="10" t="s">
        <v>28</v>
      </c>
      <c r="C26" s="13">
        <v>45696</v>
      </c>
      <c r="D26" s="13">
        <v>45354</v>
      </c>
      <c r="E26" s="10">
        <f t="shared" si="4"/>
        <v>342</v>
      </c>
      <c r="F26" s="10"/>
      <c r="G26" s="5">
        <v>20.05</v>
      </c>
      <c r="H26" s="5">
        <v>20.02</v>
      </c>
      <c r="I26" s="5">
        <v>20.05</v>
      </c>
      <c r="J26" s="5">
        <v>20.05</v>
      </c>
      <c r="K26" s="5">
        <v>20.059999999999999</v>
      </c>
      <c r="L26" s="5">
        <f t="shared" ref="L26" si="13">MAX(G26:K26)</f>
        <v>20.059999999999999</v>
      </c>
      <c r="M26" s="5">
        <f t="shared" ref="M26" si="14">MIN(G26:K26)</f>
        <v>20.02</v>
      </c>
      <c r="N26" s="10">
        <v>19.52</v>
      </c>
      <c r="O26" s="10">
        <v>19.45</v>
      </c>
      <c r="P26" s="10">
        <v>19.309999999999999</v>
      </c>
      <c r="Q26" s="10">
        <v>19.329999999999998</v>
      </c>
      <c r="R26" s="10">
        <f t="shared" ref="R26" si="15">MAX(N26:Q26)</f>
        <v>19.52</v>
      </c>
      <c r="S26" s="10">
        <f t="shared" ref="S26" si="16">MIN(N26:Q26)</f>
        <v>19.309999999999999</v>
      </c>
    </row>
    <row r="27" spans="2:19" ht="15" customHeight="1" x14ac:dyDescent="0.2">
      <c r="B27" s="10" t="s">
        <v>29</v>
      </c>
      <c r="C27" s="13">
        <v>45929</v>
      </c>
      <c r="D27" s="13">
        <v>45360</v>
      </c>
      <c r="E27" s="10">
        <f t="shared" si="4"/>
        <v>569</v>
      </c>
      <c r="F27" s="10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2:19" ht="15" customHeight="1" x14ac:dyDescent="0.2">
      <c r="B28" s="10" t="s">
        <v>30</v>
      </c>
      <c r="C28" s="13">
        <v>45886</v>
      </c>
      <c r="D28" s="13">
        <v>45360</v>
      </c>
      <c r="E28" s="10">
        <f t="shared" si="4"/>
        <v>526</v>
      </c>
      <c r="F28" s="10"/>
      <c r="G28" s="5">
        <v>20.02</v>
      </c>
      <c r="H28" s="5">
        <v>20.02</v>
      </c>
      <c r="I28" s="5">
        <v>20.03</v>
      </c>
      <c r="J28" s="5">
        <v>20.059999999999999</v>
      </c>
      <c r="K28" s="5">
        <v>20.079999999999998</v>
      </c>
      <c r="L28" s="5">
        <v>20.079999999999998</v>
      </c>
      <c r="M28" s="5">
        <v>20.02</v>
      </c>
      <c r="N28" s="5">
        <v>19.18</v>
      </c>
      <c r="O28" s="5">
        <v>19.059999999999999</v>
      </c>
      <c r="P28" s="5">
        <v>19.05</v>
      </c>
      <c r="Q28" s="5">
        <v>18.829999999999998</v>
      </c>
      <c r="R28" s="5">
        <v>19.18</v>
      </c>
      <c r="S28" s="5">
        <v>18.829999999999998</v>
      </c>
    </row>
    <row r="29" spans="2:19" ht="15" customHeight="1" x14ac:dyDescent="0.2">
      <c r="B29" s="10" t="s">
        <v>43</v>
      </c>
      <c r="C29" s="13">
        <v>45724</v>
      </c>
      <c r="D29" s="13">
        <v>45367</v>
      </c>
      <c r="E29" s="10">
        <f t="shared" si="4"/>
        <v>357</v>
      </c>
      <c r="F29" s="10" t="s">
        <v>33</v>
      </c>
      <c r="G29" s="5">
        <v>20.02</v>
      </c>
      <c r="H29" s="5">
        <v>20.02</v>
      </c>
      <c r="I29" s="5">
        <v>20.02</v>
      </c>
      <c r="J29" s="5">
        <v>20.02</v>
      </c>
      <c r="K29" s="5">
        <v>20.02</v>
      </c>
      <c r="L29" s="5">
        <f t="shared" ref="L29:L30" si="17">MAX(G29:K29)</f>
        <v>20.02</v>
      </c>
      <c r="M29" s="5">
        <f t="shared" ref="M29:M30" si="18">MIN(G29:K29)</f>
        <v>20.02</v>
      </c>
      <c r="N29" s="10">
        <v>19.809999999999999</v>
      </c>
      <c r="O29" s="10">
        <v>19.809999999999999</v>
      </c>
      <c r="P29" s="10">
        <v>19.77</v>
      </c>
      <c r="Q29" s="10">
        <v>19.79</v>
      </c>
      <c r="R29" s="10">
        <f t="shared" ref="R29:R31" si="19">MAX(N29:Q29)</f>
        <v>19.809999999999999</v>
      </c>
      <c r="S29" s="10">
        <f t="shared" ref="S29:S31" si="20">MIN(N29:Q29)</f>
        <v>19.77</v>
      </c>
    </row>
    <row r="30" spans="2:19" x14ac:dyDescent="0.2">
      <c r="B30" s="10" t="s">
        <v>44</v>
      </c>
      <c r="C30" s="13">
        <v>45724</v>
      </c>
      <c r="D30" s="13">
        <v>45367</v>
      </c>
      <c r="E30" s="10">
        <f t="shared" ref="E30" si="21">C30-D30</f>
        <v>357</v>
      </c>
      <c r="F30" s="10" t="s">
        <v>33</v>
      </c>
      <c r="G30" s="5">
        <v>20</v>
      </c>
      <c r="H30" s="5">
        <v>20</v>
      </c>
      <c r="I30" s="5">
        <v>20</v>
      </c>
      <c r="J30" s="5">
        <v>20</v>
      </c>
      <c r="K30" s="5">
        <v>20</v>
      </c>
      <c r="L30" s="5">
        <f t="shared" si="17"/>
        <v>20</v>
      </c>
      <c r="M30" s="5">
        <f t="shared" si="18"/>
        <v>20</v>
      </c>
      <c r="N30" s="10">
        <v>19.829999999999998</v>
      </c>
      <c r="O30" s="10">
        <v>19.82</v>
      </c>
      <c r="P30" s="10">
        <v>19.79</v>
      </c>
      <c r="Q30" s="10">
        <v>19.739999999999998</v>
      </c>
      <c r="R30" s="10">
        <f t="shared" si="19"/>
        <v>19.829999999999998</v>
      </c>
      <c r="S30" s="10">
        <f t="shared" si="20"/>
        <v>19.739999999999998</v>
      </c>
    </row>
    <row r="31" spans="2:19" x14ac:dyDescent="0.2">
      <c r="B31" s="10" t="s">
        <v>31</v>
      </c>
      <c r="C31" s="13">
        <v>45774</v>
      </c>
      <c r="D31" s="13">
        <v>45368</v>
      </c>
      <c r="E31" s="10">
        <f t="shared" si="4"/>
        <v>406</v>
      </c>
      <c r="F31" s="10"/>
      <c r="G31" s="5">
        <v>20.05</v>
      </c>
      <c r="H31" s="5">
        <v>20.149999999999999</v>
      </c>
      <c r="I31" s="5">
        <v>20.3</v>
      </c>
      <c r="J31" s="5">
        <v>20.399999999999999</v>
      </c>
      <c r="K31" s="5">
        <v>20.5</v>
      </c>
      <c r="L31" s="5">
        <f t="shared" ref="L31" si="22">MAX(G31:K31)</f>
        <v>20.5</v>
      </c>
      <c r="M31" s="5">
        <f t="shared" ref="M31" si="23">MIN(G31:K31)</f>
        <v>20.05</v>
      </c>
      <c r="N31" s="10">
        <v>19.41</v>
      </c>
      <c r="O31" s="10">
        <v>19.22</v>
      </c>
      <c r="P31" s="10">
        <v>19.03</v>
      </c>
      <c r="Q31" s="10">
        <v>18.55</v>
      </c>
      <c r="R31" s="10">
        <f t="shared" si="19"/>
        <v>19.41</v>
      </c>
      <c r="S31" s="10">
        <f t="shared" si="20"/>
        <v>18.55</v>
      </c>
    </row>
    <row r="32" spans="2:19" ht="23.25" x14ac:dyDescent="0.35">
      <c r="B32" s="22" t="s">
        <v>32</v>
      </c>
      <c r="C32" s="23"/>
      <c r="D32" s="24"/>
      <c r="E32" s="4">
        <f>AVERAGE(E8:E31)</f>
        <v>439.20833333333331</v>
      </c>
    </row>
    <row r="33" spans="2:19" ht="15" customHeight="1" x14ac:dyDescent="0.35">
      <c r="B33" s="15"/>
      <c r="C33" s="15"/>
      <c r="D33" s="15"/>
      <c r="E33" s="16"/>
      <c r="F33" s="27" t="s">
        <v>46</v>
      </c>
      <c r="G33" s="17">
        <v>20.05</v>
      </c>
      <c r="H33" s="17">
        <v>20.05</v>
      </c>
      <c r="I33" s="17">
        <v>20.07</v>
      </c>
      <c r="J33" s="17">
        <v>20.170000000000002</v>
      </c>
      <c r="K33" s="17">
        <v>20.350000000000001</v>
      </c>
      <c r="L33" s="17">
        <f>MAX(G33:K33)</f>
        <v>20.350000000000001</v>
      </c>
      <c r="M33" s="17">
        <f>MIN(G33:K33)</f>
        <v>20.05</v>
      </c>
      <c r="N33" s="18">
        <v>19.78</v>
      </c>
      <c r="O33" s="18">
        <v>19.64</v>
      </c>
      <c r="P33" s="18">
        <v>19.54</v>
      </c>
      <c r="Q33" s="18">
        <v>18.61</v>
      </c>
      <c r="R33" s="18">
        <f>MAX(N33:Q33)</f>
        <v>19.78</v>
      </c>
      <c r="S33" s="18">
        <f>MIN(N33:Q33)</f>
        <v>18.61</v>
      </c>
    </row>
    <row r="34" spans="2:19" ht="15" customHeight="1" x14ac:dyDescent="0.35">
      <c r="B34" s="15"/>
      <c r="C34" s="15"/>
      <c r="D34" s="15"/>
      <c r="E34" s="16"/>
      <c r="F34" s="27"/>
      <c r="G34" s="17">
        <v>20.03</v>
      </c>
      <c r="H34" s="17">
        <v>20</v>
      </c>
      <c r="I34" s="17">
        <v>20.12</v>
      </c>
      <c r="J34" s="17">
        <v>20.12</v>
      </c>
      <c r="K34" s="17">
        <v>20.25</v>
      </c>
      <c r="L34" s="17">
        <v>20.28</v>
      </c>
      <c r="M34" s="17">
        <f>MIN(G34:K34)</f>
        <v>20</v>
      </c>
      <c r="N34" s="18">
        <v>19.649999999999999</v>
      </c>
      <c r="O34" s="18">
        <v>19.43</v>
      </c>
      <c r="P34" s="18">
        <v>19.41</v>
      </c>
      <c r="Q34" s="18">
        <v>18.579999999999998</v>
      </c>
      <c r="R34" s="18">
        <f>MAX(N34:Q34)</f>
        <v>19.649999999999999</v>
      </c>
      <c r="S34" s="18">
        <f>MIN(N34:Q34)</f>
        <v>18.579999999999998</v>
      </c>
    </row>
    <row r="35" spans="2:19" ht="15" customHeight="1" x14ac:dyDescent="0.35">
      <c r="B35" s="19"/>
      <c r="C35" s="28" t="s">
        <v>47</v>
      </c>
      <c r="D35" s="28"/>
      <c r="E35" s="28"/>
      <c r="F35" s="27"/>
      <c r="G35" s="17">
        <v>20.03</v>
      </c>
      <c r="H35" s="17">
        <v>20.05</v>
      </c>
      <c r="I35" s="17">
        <v>20.059999999999999</v>
      </c>
      <c r="J35" s="17">
        <v>20.07</v>
      </c>
      <c r="K35" s="17">
        <v>20.9</v>
      </c>
      <c r="L35" s="17">
        <f t="shared" ref="L35:L37" si="24">MAX(G35:K35)</f>
        <v>20.9</v>
      </c>
      <c r="M35" s="17">
        <f>MIN(G35:K35)</f>
        <v>20.03</v>
      </c>
      <c r="N35" s="18">
        <v>19.36</v>
      </c>
      <c r="O35" s="18">
        <v>19.260000000000002</v>
      </c>
      <c r="P35" s="18">
        <v>19.149999999999999</v>
      </c>
      <c r="Q35" s="18">
        <v>19.149999999999999</v>
      </c>
      <c r="R35" s="18">
        <f>MAX(N35:Q35)</f>
        <v>19.36</v>
      </c>
      <c r="S35" s="18">
        <f>MIN(N35:Q35)</f>
        <v>19.149999999999999</v>
      </c>
    </row>
    <row r="36" spans="2:19" ht="15" customHeight="1" x14ac:dyDescent="0.35">
      <c r="B36" s="15"/>
      <c r="C36" s="15"/>
      <c r="D36" s="15"/>
      <c r="E36" s="16"/>
      <c r="F36" s="27"/>
      <c r="G36" s="17">
        <v>20.02</v>
      </c>
      <c r="H36" s="17">
        <v>20.03</v>
      </c>
      <c r="I36" s="17">
        <v>20.03</v>
      </c>
      <c r="J36" s="17">
        <v>20.03</v>
      </c>
      <c r="K36" s="17">
        <v>20.03</v>
      </c>
      <c r="L36" s="17">
        <f t="shared" si="24"/>
        <v>20.03</v>
      </c>
      <c r="M36" s="17">
        <f>MIN(G36:K36)</f>
        <v>20.02</v>
      </c>
    </row>
    <row r="37" spans="2:19" ht="15" customHeight="1" x14ac:dyDescent="0.35">
      <c r="B37" s="15"/>
      <c r="C37" s="15"/>
      <c r="D37" s="15"/>
      <c r="E37" s="16"/>
      <c r="F37" s="27"/>
      <c r="G37" s="17">
        <v>20.02</v>
      </c>
      <c r="H37" s="17">
        <v>20.02</v>
      </c>
      <c r="I37" s="17">
        <v>20</v>
      </c>
      <c r="J37" s="17">
        <v>20</v>
      </c>
      <c r="K37" s="17">
        <v>20</v>
      </c>
      <c r="L37" s="17">
        <f t="shared" si="24"/>
        <v>20.02</v>
      </c>
      <c r="M37" s="17">
        <f>MIN(G37:K37)</f>
        <v>20</v>
      </c>
      <c r="N37" s="19"/>
      <c r="O37" s="29" t="s">
        <v>48</v>
      </c>
      <c r="P37" s="29"/>
      <c r="Q37" s="29"/>
      <c r="R37" s="29"/>
      <c r="S37" s="29"/>
    </row>
    <row r="38" spans="2:19" x14ac:dyDescent="0.2">
      <c r="B38" s="25"/>
      <c r="C38" s="25"/>
      <c r="D38" s="25"/>
      <c r="E38" s="25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</row>
    <row r="39" spans="2:19" x14ac:dyDescent="0.2">
      <c r="B39" s="25"/>
      <c r="C39" s="25"/>
      <c r="D39" s="25"/>
      <c r="E39" s="25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</row>
    <row r="40" spans="2:19" x14ac:dyDescent="0.2">
      <c r="B40" s="25"/>
      <c r="C40" s="25"/>
      <c r="D40" s="25"/>
      <c r="E40" s="25"/>
      <c r="F40" s="2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spans="2:19" x14ac:dyDescent="0.2">
      <c r="B41" s="25"/>
      <c r="C41" s="25"/>
      <c r="D41" s="25"/>
      <c r="E41" s="25"/>
      <c r="F41" s="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</row>
    <row r="42" spans="2:19" x14ac:dyDescent="0.2">
      <c r="B42" s="25"/>
      <c r="C42" s="25"/>
      <c r="D42" s="25"/>
      <c r="E42" s="25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spans="2:19" x14ac:dyDescent="0.2">
      <c r="B43" s="25"/>
      <c r="C43" s="25"/>
      <c r="D43" s="25"/>
      <c r="E43" s="25"/>
      <c r="F43" s="2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spans="2:19" x14ac:dyDescent="0.2">
      <c r="B44" s="25"/>
      <c r="C44" s="25"/>
      <c r="D44" s="25"/>
      <c r="E44" s="25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5" spans="2:19" x14ac:dyDescent="0.2">
      <c r="B45" s="25"/>
      <c r="C45" s="25"/>
      <c r="D45" s="25"/>
      <c r="E45" s="25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6" spans="2:19" x14ac:dyDescent="0.2">
      <c r="B46" s="25"/>
      <c r="C46" s="25"/>
      <c r="D46" s="25"/>
      <c r="E46" s="25"/>
      <c r="F46" s="2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</row>
    <row r="47" spans="2:19" x14ac:dyDescent="0.2">
      <c r="B47" s="25"/>
      <c r="C47" s="25"/>
      <c r="D47" s="25"/>
      <c r="E47" s="25"/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</row>
    <row r="48" spans="2:19" x14ac:dyDescent="0.2">
      <c r="B48" s="25"/>
      <c r="C48" s="25"/>
      <c r="D48" s="25"/>
      <c r="E48" s="25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</row>
    <row r="49" spans="2:19" x14ac:dyDescent="0.2">
      <c r="B49" s="25"/>
      <c r="C49" s="25"/>
      <c r="D49" s="25"/>
      <c r="E49" s="25"/>
      <c r="F49" s="2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</row>
    <row r="50" spans="2:19" x14ac:dyDescent="0.2">
      <c r="B50" s="25"/>
      <c r="C50" s="25"/>
      <c r="D50" s="25"/>
      <c r="E50" s="25"/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</row>
    <row r="51" spans="2:19" x14ac:dyDescent="0.2">
      <c r="B51" s="25"/>
      <c r="C51" s="25"/>
      <c r="D51" s="25"/>
      <c r="E51" s="25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</row>
  </sheetData>
  <autoFilter ref="B3:F37" xr:uid="{BE8393D9-7CBE-41D6-A20B-4E111D88A3F5}"/>
  <mergeCells count="9">
    <mergeCell ref="B2:F2"/>
    <mergeCell ref="G2:M2"/>
    <mergeCell ref="N2:S2"/>
    <mergeCell ref="B32:D32"/>
    <mergeCell ref="B38:F51"/>
    <mergeCell ref="G38:S51"/>
    <mergeCell ref="F33:F37"/>
    <mergeCell ref="C35:E35"/>
    <mergeCell ref="O37:S37"/>
  </mergeCells>
  <printOptions horizontalCentered="1"/>
  <pageMargins left="0.19685039370078741" right="0.19685039370078741" top="0.39370078740157483" bottom="0.39370078740157483" header="0.19685039370078741" footer="0.19685039370078741"/>
  <pageSetup paperSize="9" scale="53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Hist. Medições e Manutenções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Douglas de Paula</dc:creator>
  <cp:lastModifiedBy>Michel Douglas de Paula</cp:lastModifiedBy>
  <cp:lastPrinted>2025-12-09T10:46:26Z</cp:lastPrinted>
  <dcterms:created xsi:type="dcterms:W3CDTF">2025-12-02T19:42:19Z</dcterms:created>
  <dcterms:modified xsi:type="dcterms:W3CDTF">2026-04-13T15:36:28Z</dcterms:modified>
</cp:coreProperties>
</file>